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現金流量預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cols>
    <col min="1" max="1" width="42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現金流量預算表</v>
      </c>
    </row>
    <row r="2">
      <c r="A2" t="str">
        <v>期間：2026 年 6 月 ～ 2026 年 12 月</v>
      </c>
    </row>
    <row r="3">
      <c r="A3" t="str">
        <v>項目</v>
      </c>
      <c r="B3" t="str">
        <v>6 月（已發生）</v>
      </c>
      <c r="C3" t="str">
        <v>7 月（已發生）</v>
      </c>
      <c r="D3" t="str">
        <v>8 月（已發生）</v>
      </c>
      <c r="E3" t="str">
        <v>9 月（本月）</v>
      </c>
      <c r="F3" t="str">
        <v>10 月（待填）</v>
      </c>
      <c r="G3" t="str">
        <v>11 月（待填）</v>
      </c>
      <c r="H3" t="str">
        <v>12 月（待填）</v>
      </c>
    </row>
    <row r="4">
      <c r="A4" t="str">
        <v>期初現金餘額</v>
      </c>
      <c r="B4" s="1">
        <v>5970</v>
      </c>
      <c r="C4" s="1">
        <f>B20</f>
      </c>
      <c r="D4" s="1">
        <f>C20</f>
      </c>
      <c r="E4" s="1">
        <f>D20</f>
      </c>
      <c r="F4" s="1">
        <f>E20</f>
      </c>
      <c r="G4" s="1">
        <f>F20</f>
      </c>
      <c r="H4" s="1">
        <f>G20</f>
      </c>
    </row>
    <row r="5">
      <c r="A5" t="str">
        <v>第一段　現金流入</v>
      </c>
    </row>
    <row r="6">
      <c r="A6" t="str">
        <v>銷貨收現</v>
      </c>
      <c r="B6" s="1">
        <v>4200</v>
      </c>
      <c r="C6" s="1">
        <v>4600</v>
      </c>
      <c r="D6" s="1">
        <v>4800</v>
      </c>
      <c r="E6" s="1">
        <v>5000</v>
      </c>
    </row>
    <row r="7">
      <c r="A7" t="str">
        <v>應收帳款收現</v>
      </c>
      <c r="B7" s="1">
        <v>900</v>
      </c>
      <c r="C7" s="1">
        <v>1100</v>
      </c>
      <c r="D7" s="1">
        <v>950</v>
      </c>
      <c r="E7" s="1">
        <v>1000</v>
      </c>
    </row>
    <row r="8">
      <c r="A8" t="str">
        <v>其他收入</v>
      </c>
      <c r="B8" s="1">
        <v>400</v>
      </c>
      <c r="C8" s="1">
        <v>450</v>
      </c>
      <c r="D8" s="1">
        <v>520</v>
      </c>
      <c r="E8" s="1">
        <v>500</v>
      </c>
    </row>
    <row r="9">
      <c r="A9" t="str">
        <v>股東增資</v>
      </c>
      <c r="B9" s="1">
        <v>0</v>
      </c>
      <c r="C9" s="1">
        <v>0</v>
      </c>
      <c r="D9" s="1">
        <v>0</v>
      </c>
      <c r="E9" s="1">
        <v>0</v>
      </c>
    </row>
    <row r="10">
      <c r="A10" t="str">
        <v>現金流入合計</v>
      </c>
      <c r="B10" s="1">
        <f>SUM(B6:B9)</f>
      </c>
      <c r="C10" s="1">
        <f>SUM(C6:C9)</f>
      </c>
      <c r="D10" s="1">
        <f>SUM(D6:D9)</f>
      </c>
      <c r="E10" s="1">
        <f>SUM(E6:E9)</f>
      </c>
      <c r="F10" s="1">
        <f>SUM(F6:F9)</f>
      </c>
      <c r="G10" s="1">
        <f>SUM(G6:G9)</f>
      </c>
      <c r="H10" s="1">
        <f>SUM(H6:H9)</f>
      </c>
    </row>
    <row r="11">
      <c r="A11" t="str">
        <v>第二段　現金流出</v>
      </c>
    </row>
    <row r="12">
      <c r="A12" t="str">
        <v>進貨付現</v>
      </c>
      <c r="B12" s="1">
        <v>1800</v>
      </c>
      <c r="C12" s="1">
        <v>2100</v>
      </c>
      <c r="D12" s="1">
        <v>1950</v>
      </c>
      <c r="E12" s="1">
        <v>2000</v>
      </c>
    </row>
    <row r="13">
      <c r="A13" t="str">
        <v>應付帳款付現</v>
      </c>
      <c r="B13" s="1">
        <v>0</v>
      </c>
      <c r="C13" s="1">
        <v>0</v>
      </c>
      <c r="D13" s="1">
        <v>0</v>
      </c>
      <c r="E13" s="1">
        <v>0</v>
      </c>
    </row>
    <row r="14">
      <c r="A14" t="str">
        <v>薪資支出</v>
      </c>
      <c r="B14" s="1">
        <v>1500</v>
      </c>
      <c r="C14" s="1">
        <v>1500</v>
      </c>
      <c r="D14" s="1">
        <v>1500</v>
      </c>
      <c r="E14" s="1">
        <v>1500</v>
      </c>
    </row>
    <row r="15">
      <c r="A15" t="str">
        <v>租金</v>
      </c>
      <c r="B15" s="1">
        <v>800</v>
      </c>
      <c r="C15" s="1">
        <v>800</v>
      </c>
      <c r="D15" s="1">
        <v>800</v>
      </c>
      <c r="E15" s="1">
        <v>800</v>
      </c>
    </row>
    <row r="16">
      <c r="A16" t="str">
        <v>其他費用</v>
      </c>
      <c r="B16" s="1">
        <v>350</v>
      </c>
      <c r="C16" s="1">
        <v>380</v>
      </c>
      <c r="D16" s="1">
        <v>410</v>
      </c>
      <c r="E16" s="1">
        <v>395</v>
      </c>
    </row>
    <row r="17">
      <c r="A17" t="str">
        <v>現金流出合計</v>
      </c>
      <c r="B17" s="1">
        <f>SUM(B12:B16)</f>
      </c>
      <c r="C17" s="1">
        <f>SUM(C12:C16)</f>
      </c>
      <c r="D17" s="1">
        <f>SUM(D12:D16)</f>
      </c>
      <c r="E17" s="1">
        <f>SUM(E12:E16)</f>
      </c>
      <c r="F17" s="1">
        <f>SUM(F12:F16)</f>
      </c>
      <c r="G17" s="1">
        <f>SUM(G12:G16)</f>
      </c>
      <c r="H17" s="1">
        <f>SUM(H12:H16)</f>
      </c>
    </row>
    <row r="18">
      <c r="A18" t="str">
        <v>淨現金流量</v>
      </c>
      <c r="B18" s="1">
        <f>B10-B17</f>
      </c>
      <c r="C18" s="1">
        <f>C10-C17</f>
      </c>
      <c r="D18" s="1">
        <f>D10-D17</f>
      </c>
      <c r="E18" s="1">
        <f>E10-E17</f>
      </c>
      <c r="F18" s="1">
        <f>F10-F17</f>
      </c>
      <c r="G18" s="1">
        <f>G10-G17</f>
      </c>
      <c r="H18" s="1">
        <f>H10-H17</f>
      </c>
    </row>
    <row r="19">
      <c r="A19" t="str">
        <v>說明：標示「待填」的月份目前沒有已確認資料，公式算出的 0 與持平期末餘額只代表尚未填寫，不是系統的預測。請自行填入你的預估。</v>
      </c>
    </row>
    <row r="20">
      <c r="A20" t="str">
        <v>期末現金餘額</v>
      </c>
      <c r="B20" s="1">
        <f>B4+B18</f>
      </c>
      <c r="C20" s="1">
        <f>C4+C18</f>
      </c>
      <c r="D20" s="1">
        <f>D4+D18</f>
      </c>
      <c r="E20" s="1">
        <f>E4+E18</f>
      </c>
      <c r="F20" s="1">
        <f>F4+F18</f>
      </c>
      <c r="G20" s="1">
        <f>G4+G18</f>
      </c>
      <c r="H20" s="1">
        <f>H4+H18</f>
      </c>
    </row>
    <row r="22">
      <c r="A22" t="str">
        <v>備用金試算</v>
      </c>
    </row>
    <row r="23">
      <c r="A23" t="str">
        <v>每月固定支出合計</v>
      </c>
    </row>
    <row r="24">
      <c r="A24" t="str">
        <v>最低備用金目標（3 個月）</v>
      </c>
      <c r="B24" s="1">
        <f>B23*3</f>
      </c>
    </row>
    <row r="25">
      <c r="A25" t="str">
        <v>安心備用金目標（6 個月）</v>
      </c>
      <c r="B25" s="1">
        <f>B23*6</f>
      </c>
    </row>
    <row r="26">
      <c r="A26" t="str">
        <v>目前帳戶現金餘額</v>
      </c>
      <c r="B26" s="1">
        <v>11805</v>
      </c>
    </row>
    <row r="27">
      <c r="A27" t="str">
        <v>與 3 個月目標的差距</v>
      </c>
      <c r="B27" s="1">
        <f>B26-B24</f>
      </c>
    </row>
    <row r="29">
      <c r="A29" t="str">
        <v>這是你在互動工具填寫當下七個月視窗的快照。想長期累積每月資料，請使用隨工具提供的現金流量預算表主檔。</v>
      </c>
    </row>
    <row r="30">
      <c r="A30" t="str">
        <v>畫面上灰色斜體的自動預估值不會寫進 Excel；重新輸入一次數字（照抄也可以）後，才會成為你的數字並匯出。</v>
      </c>
    </row>
    <row r="31">
      <c r="A31" t="str">
        <v>已到期但仍未確認的先前預估，會保留在『先前預估／待確認』區段，不納入已發生月份合計與實際現金計算。</v>
      </c>
    </row>
    <row r="32">
      <c r="A32" t="str">
        <v>說明：期末餘額自動帶入下個月期初，改動任何數字後面都會連動。</v>
      </c>
    </row>
    <row r="33">
      <c r="A33" t="str">
        <v>最低備用金水位 ＝ 每月固定支出 × 3。</v>
      </c>
    </row>
    <row r="34">
      <c r="A34" t="str">
        <v>固定支出請沿用你實際每月固定會發生的支出清單，不是損益兩平試算表。</v>
      </c>
    </row>
    <row r="35">
      <c r="A35" t="str">
        <v>填寫時看的是錢真正進出帳戶的日期，不是開發票或簽約的日期。</v>
      </c>
    </row>
    <row r="36">
      <c r="A36" t="str">
        <v>已開出但尚未兌現的支票，請依到期日填進當月的現金流出。</v>
      </c>
    </row>
    <row r="37">
      <c r="A37" t="str">
        <v>本表僅為現金流管理的教學用試算工具，實際財務決策請依公司狀況判斷。</v>
      </c>
    </row>
  </sheetData>
  <ignoredErrors>
    <ignoredError numberStoredAsText="1" sqref="A1:H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現金流量預算表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